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6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ith/Desktop/HR_DataAnalysis/"/>
    </mc:Choice>
  </mc:AlternateContent>
  <xr:revisionPtr revIDLastSave="0" documentId="13_ncr:1_{525391B7-E296-6B4E-A847-038B38E925DA}" xr6:coauthVersionLast="47" xr6:coauthVersionMax="47" xr10:uidLastSave="{00000000-0000-0000-0000-000000000000}"/>
  <bookViews>
    <workbookView xWindow="0" yWindow="660" windowWidth="29400" windowHeight="17500" firstSheet="2" activeTab="7" xr2:uid="{0E191A79-899D-D44F-AB9A-E4FCC730F508}"/>
  </bookViews>
  <sheets>
    <sheet name="KPI Dashboard" sheetId="2" r:id="rId1"/>
    <sheet name="HeadCount" sheetId="1" r:id="rId2"/>
    <sheet name="Pivot_Headcount" sheetId="8" r:id="rId3"/>
    <sheet name="Attrition_JobRole" sheetId="4" r:id="rId4"/>
    <sheet name="Pivot_Attrition_JobRole" sheetId="10" r:id="rId5"/>
    <sheet name="Attrition_Department" sheetId="5" r:id="rId6"/>
    <sheet name="Pivot_Attrition_Department" sheetId="9" r:id="rId7"/>
    <sheet name="Tenure_Attrition" sheetId="6" r:id="rId8"/>
    <sheet name="Pivot_Tenure" sheetId="11" r:id="rId9"/>
    <sheet name="JobSatisfaction_Attrition" sheetId="7" r:id="rId10"/>
    <sheet name="Pivot_JobSatisfaction" sheetId="12" r:id="rId11"/>
  </sheets>
  <calcPr calcId="181029"/>
  <pivotCaches>
    <pivotCache cacheId="0" r:id="rId12"/>
    <pivotCache cacheId="1" r:id="rId13"/>
    <pivotCache cacheId="2" r:id="rId14"/>
    <pivotCache cacheId="3" r:id="rId15"/>
    <pivotCache cacheId="4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<sst xmlns="http://schemas.openxmlformats.org/spreadsheetml/2006/main" count="72" uniqueCount="30">
  <si>
    <t>Department</t>
  </si>
  <si>
    <t>Headcount</t>
  </si>
  <si>
    <t>Sales</t>
  </si>
  <si>
    <t>Research &amp; Development</t>
  </si>
  <si>
    <t>Human Resources</t>
  </si>
  <si>
    <t>AttritionRate</t>
  </si>
  <si>
    <t>JobRole</t>
  </si>
  <si>
    <t>Laboratory Technician</t>
  </si>
  <si>
    <t>Sales Executive</t>
  </si>
  <si>
    <t>Research Scientist</t>
  </si>
  <si>
    <t>Sales Representative</t>
  </si>
  <si>
    <t>Manufacturing Director</t>
  </si>
  <si>
    <t>Healthcare Representative</t>
  </si>
  <si>
    <t>Manager</t>
  </si>
  <si>
    <t>Research Director</t>
  </si>
  <si>
    <t>Attrition</t>
  </si>
  <si>
    <t>AvgYearsAtCompany</t>
  </si>
  <si>
    <t>Yes</t>
  </si>
  <si>
    <t>No</t>
  </si>
  <si>
    <t>JobSatisfaction</t>
  </si>
  <si>
    <t>EmployeeCount</t>
  </si>
  <si>
    <t>Row Labels</t>
  </si>
  <si>
    <t>Grand Total</t>
  </si>
  <si>
    <t>Sum of Headcount</t>
  </si>
  <si>
    <t>Sum of Exits</t>
  </si>
  <si>
    <t>Sum of AvgYearsAtCompany</t>
  </si>
  <si>
    <t>Stayed</t>
  </si>
  <si>
    <t>Left</t>
  </si>
  <si>
    <t>Sum of JobSatisfaction</t>
  </si>
  <si>
    <t>Sum of EmployeeCount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</si>
</sst>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[BM_HR_Analytics.xlsx]Pivot_Headcount!PivotTable2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IBM Workforce Distribution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Pivot_Headcount!$B$1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E32-DA4D-84EA-80E9A6389C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32-DA4D-84EA-80E9A6389C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E32-DA4D-84EA-80E9A6389C36}"/>
              </c:ext>
            </c:extLst>
          </c:dPt>
          <c:cat>
            <c:strRef>
              <c:f>Pivot_Headcount!$A$2:$A$5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Pivot_Headcount!$B$2:$B$5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8-414B-AE96-05628D392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[BM_HR_Analytics.xlsx]Pivot_Attrition_JobRole!PivotTable4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Employee Attrition by Job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Pivot_Attrition_JobRole!$B$1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12A-2A44-BAE5-4587743DEE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2A-2A44-BAE5-4587743DEE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12A-2A44-BAE5-4587743DEE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12A-2A44-BAE5-4587743DEE0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12A-2A44-BAE5-4587743DEE0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12A-2A44-BAE5-4587743DEE0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12A-2A44-BAE5-4587743DEE0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12A-2A44-BAE5-4587743DEE0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12A-2A44-BAE5-4587743DEE03}"/>
              </c:ext>
            </c:extLst>
          </c:dPt>
          <c:cat>
            <c:strRef>
              <c:f>Pivot_Attrition_JobRole!$A$2:$A$11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Pivot_Attrition_JobRole!$B$2:$B$11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3-CD4F-82EB-A4D365E06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[BM_HR_Analytics.xlsx]Pivot_Attrition_Department!PivotTable3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Employee Exits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Pivot_Attrition_Department!$B$1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Pivot_Attrition_Department!$A$2:$A$5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Pivot_Attrition_Department!$B$2:$B$5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2-EA4C-A9EE-1FCE44D51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4878144"/>
        <c:axId val="1026534336"/>
      </c:barChart>
      <c:catAx>
        <c:axId val="98487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534336"/>
        <c:crosses val="autoZero"/>
        <c:auto val="1"/>
        <c:lblAlgn val="ctr"/>
        <c:lblOffset val="100"/>
        <c:noMultiLvlLbl val="0"/>
      </c:catAx>
      <c:valAx>
        <c:axId val="102653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87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[BM_HR_Analytics.xlsx]Pivot_Tenure!PivotTable5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Average Tenure of Employees (Stayed vs Left)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Pivot_Tenure!$B$1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Pivot_Tenure!$A$2:$A$4</c:f>
              <c:strCache>
                <c:ptCount val="2"/>
                <c:pt idx="0">
                  <c:v>Stayed</c:v>
                </c:pt>
                <c:pt idx="1">
                  <c:v>Left</c:v>
                </c:pt>
              </c:strCache>
            </c:strRef>
          </c:cat>
          <c:val>
            <c:numRef>
              <c:f>Pivot_Tenure!$B$2:$B$4</c:f>
              <c:numCache>
                <c:formatCode>General</c:formatCode>
                <c:ptCount val="2"/>
                <c:pt idx="0">
                  <c:v>7.3689999999999998</c:v>
                </c:pt>
                <c:pt idx="1">
                  <c:v>5.1307999999999998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99-B342-89E4-0F934CB02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970553344"/>
        <c:axId val="977155648"/>
        <c:axId val="0"/>
      </c:bar3DChart>
      <c:catAx>
        <c:axId val="97055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155648"/>
        <c:crosses val="autoZero"/>
        <c:auto val="1"/>
        <c:lblAlgn val="ctr"/>
        <c:lblOffset val="100"/>
        <c:noMultiLvlLbl val="0"/>
      </c:catAx>
      <c:valAx>
        <c:axId val="97715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55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[BM_HR_Analytics.xlsx]Pivot_JobSatisfaction!PivotTable6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Pivot_JobSatisfaction!$B$1</c:f>
              <c:strCache>
                <c:ptCount val="1"/>
                <c:pt idx="0">
                  <c:v>Sum of EmployeeCount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Pivot_JobSatisfaction!$A$2:$A$4</c:f>
              <c:strCache>
                <c:ptCount val="2"/>
                <c:pt idx="0">
                  <c:v>Stayed</c:v>
                </c:pt>
                <c:pt idx="1">
                  <c:v>Left</c:v>
                </c:pt>
              </c:strCache>
            </c:strRef>
          </c:cat>
          <c:val>
            <c:numRef>
              <c:f>Pivot_JobSatisfaction!$B$2:$B$4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B-B440-AFA0-57B362B7215B}"/>
            </c:ext>
          </c:extLst>
        </c:ser>
        <c:ser>
          <c:idx val="1"/>
          <c:order val="1"/>
          <c:tx>
            <c:strRef>
              <c:f>Pivot_JobSatisfaction!$C$1</c:f>
              <c:strCache>
                <c:ptCount val="1"/>
                <c:pt idx="0">
                  <c:v>Sum of JobSatisfaction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Pivot_JobSatisfaction!$A$2:$A$4</c:f>
              <c:strCache>
                <c:ptCount val="2"/>
                <c:pt idx="0">
                  <c:v>Stayed</c:v>
                </c:pt>
                <c:pt idx="1">
                  <c:v>Left</c:v>
                </c:pt>
              </c:strCache>
            </c:strRef>
          </c:cat>
          <c:val>
            <c:numRef>
              <c:f>Pivot_JobSatisfaction!$C$2:$C$4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DB-B440-AFA0-57B362B72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972250560"/>
        <c:axId val="972387008"/>
        <c:axId val="0"/>
      </c:bar3DChart>
      <c:catAx>
        <c:axId val="97225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387008"/>
        <c:crosses val="autoZero"/>
        <c:auto val="1"/>
        <c:lblAlgn val="ctr"/>
        <c:lblOffset val="100"/>
        <c:noMultiLvlLbl val="0"/>
      </c:catAx>
      <c:valAx>
        <c:axId val="97238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25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12DABB-4529-EA6B-3C9B-C9B60E38A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A46715-17CE-564D-125C-01A90FB35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7B04E4-C51B-5679-3789-9F3B9962C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B815C3-0C40-6F8B-CA58-FA6997586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AC3FFA-ED58-D15E-C5DC-D3D6A7AB1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h Gowda R" refreshedDate="46049.019294791666" createdVersion="8" refreshedVersion="8" minRefreshableVersion="3" recordCount="3" xr:uid="{0869A980-39EA-E847-9F27-104A25E44A11}">
  <cacheSource type="worksheet">
    <worksheetSource name="Table3"/>
  </cacheSource>
  <cacheFields count="2">
    <cacheField name="Department" numFmtId="0">
      <sharedItems count="3">
        <s v="Sales"/>
        <s v="Research &amp; Development"/>
        <s v="Human Resources"/>
      </sharedItems>
    </cacheField>
    <cacheField name="Headcount" numFmtId="0">
      <sharedItems containsSemiMixedTypes="0" containsString="0" containsNumber="1" containsInteger="1" minValue="63" maxValue="9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h Gowda R" refreshedDate="46049.022635995374" createdVersion="8" refreshedVersion="8" minRefreshableVersion="3" recordCount="3" xr:uid="{451B7F7F-186E-204B-9439-8F01929EF947}">
  <cacheSource type="worksheet">
    <worksheetSource name="Table7"/>
  </cacheSource>
  <cacheFields count="2">
    <cacheField name="Department" numFmtId="0">
      <sharedItems count="3">
        <s v="Research &amp; Development"/>
        <s v="Sales"/>
        <s v="Human Resources"/>
      </sharedItems>
    </cacheField>
    <cacheField name="Exits" numFmtId="0">
      <sharedItems containsSemiMixedTypes="0" containsString="0" containsNumber="1" containsInteger="1" minValue="12" maxValue="1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h Gowda R" refreshedDate="46049.024685069446" createdVersion="8" refreshedVersion="8" minRefreshableVersion="3" recordCount="9" xr:uid="{364371A5-507D-994C-8E0F-C5DCA601259D}">
  <cacheSource type="worksheet">
    <worksheetSource name="Table6"/>
  </cacheSource>
  <cacheFields count="2">
    <cacheField name="JobRole" numFmtId="0">
      <sharedItems count="9">
        <s v="Laboratory Technician"/>
        <s v="Sales Executive"/>
        <s v="Research Scientist"/>
        <s v="Sales Representative"/>
        <s v="Human Resources"/>
        <s v="Manufacturing Director"/>
        <s v="Healthcare Representative"/>
        <s v="Manager"/>
        <s v="Research Director"/>
      </sharedItems>
    </cacheField>
    <cacheField name="Exits" numFmtId="0">
      <sharedItems containsSemiMixedTypes="0" containsString="0" containsNumber="1" containsInteger="1" minValue="2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h Gowda R" refreshedDate="46049.028292361108" createdVersion="8" refreshedVersion="8" minRefreshableVersion="3" recordCount="2" xr:uid="{E0901151-D276-3D4B-9ADE-234CE0812D45}">
  <cacheSource type="worksheet">
    <worksheetSource name="Table8"/>
  </cacheSource>
  <cacheFields count="2">
    <cacheField name="Attrition" numFmtId="0">
      <sharedItems count="2">
        <s v="Yes"/>
        <s v="No"/>
      </sharedItems>
    </cacheField>
    <cacheField name="AvgYearsAtCompany" numFmtId="0">
      <sharedItems containsSemiMixedTypes="0" containsString="0" containsNumber="1" minValue="5.1307999999999998" maxValue="7.368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h Gowda R" refreshedDate="46049.033942592592" createdVersion="8" refreshedVersion="8" minRefreshableVersion="3" recordCount="8" xr:uid="{9843DBA7-8D0F-CF4A-B0C6-DFEB1B7C8FDB}">
  <cacheSource type="worksheet">
    <worksheetSource name="Table9"/>
  </cacheSource>
  <cacheFields count="3">
    <cacheField name="JobSatisfaction" numFmtId="0">
      <sharedItems containsSemiMixedTypes="0" containsString="0" containsNumber="1" containsInteger="1" minValue="1" maxValue="4"/>
    </cacheField>
    <cacheField name="Attrition" numFmtId="0">
      <sharedItems count="2">
        <s v="No"/>
        <s v="Yes"/>
      </sharedItems>
    </cacheField>
    <cacheField name="EmployeeCount" numFmtId="0">
      <sharedItems containsSemiMixedTypes="0" containsString="0" containsNumber="1" containsInteger="1" minValue="46" maxValue="4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446"/>
  </r>
  <r>
    <x v="1"/>
    <n v="961"/>
  </r>
  <r>
    <x v="2"/>
    <n v="6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33"/>
  </r>
  <r>
    <x v="1"/>
    <n v="92"/>
  </r>
  <r>
    <x v="2"/>
    <n v="1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62"/>
  </r>
  <r>
    <x v="1"/>
    <n v="57"/>
  </r>
  <r>
    <x v="2"/>
    <n v="47"/>
  </r>
  <r>
    <x v="3"/>
    <n v="33"/>
  </r>
  <r>
    <x v="4"/>
    <n v="12"/>
  </r>
  <r>
    <x v="5"/>
    <n v="10"/>
  </r>
  <r>
    <x v="6"/>
    <n v="9"/>
  </r>
  <r>
    <x v="7"/>
    <n v="5"/>
  </r>
  <r>
    <x v="8"/>
    <n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5.1307999999999998"/>
  </r>
  <r>
    <x v="1"/>
    <n v="7.368999999999999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x v="0"/>
    <n v="223"/>
  </r>
  <r>
    <n v="1"/>
    <x v="1"/>
    <n v="66"/>
  </r>
  <r>
    <n v="2"/>
    <x v="0"/>
    <n v="234"/>
  </r>
  <r>
    <n v="2"/>
    <x v="1"/>
    <n v="46"/>
  </r>
  <r>
    <n v="3"/>
    <x v="0"/>
    <n v="369"/>
  </r>
  <r>
    <n v="3"/>
    <x v="1"/>
    <n v="73"/>
  </r>
  <r>
    <n v="4"/>
    <x v="0"/>
    <n v="407"/>
  </r>
  <r>
    <n v="4"/>
    <x v="1"/>
    <n v="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B2617-9182-DE4E-B1E1-6F2D3E90337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2">
    <pivotField axis="axisRow" showAll="0">
      <items count="4">
        <item x="2"/>
        <item x="1"/>
        <item x="0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Headcount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D0678-5BCC-9647-8334-D6D3EBE463FF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1" firstHeaderRow="1" firstDataRow="1" firstDataCol="1"/>
  <pivotFields count="2">
    <pivotField axis="axisRow" showAll="0">
      <items count="10">
        <item x="6"/>
        <item x="4"/>
        <item x="0"/>
        <item x="7"/>
        <item x="5"/>
        <item x="8"/>
        <item x="2"/>
        <item x="1"/>
        <item x="3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Exits" fld="1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3B2A2-86BF-4441-AC08-36F21B7CE89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2">
    <pivotField axis="axisRow" showAll="0">
      <items count="4">
        <item x="2"/>
        <item x="0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xit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A4908-6CE9-EA42-8D88-222983D4B559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4" firstHeaderRow="1" firstDataRow="1" firstDataCol="1"/>
  <pivotFields count="2">
    <pivotField axis="axisRow" showAll="0">
      <items count="3">
        <item n="Stayed" x="1"/>
        <item n="Left" x="0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vgYearsAtCompany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F3544-5547-6247-9275-BC8588E5FCEC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4" firstHeaderRow="0" firstDataRow="1" firstDataCol="1"/>
  <pivotFields count="3">
    <pivotField dataField="1" showAll="0"/>
    <pivotField axis="axisRow" showAll="0">
      <items count="3">
        <item n="Stayed" x="0"/>
        <item n="Left"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mployeeCount" fld="2" baseField="0" baseItem="0"/>
    <dataField name="Sum of JobSatisfaction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F3F441-83C1-1849-953B-FBA4EFE09919}" name="Table4" displayName="Table4" ref="A1:A2" totalsRowShown="0">
  <autoFilter ref="A1:A2" xr:uid="{03F3F441-83C1-1849-953B-FBA4EFE09919}"/>
  <tableColumns count="1">
    <tableColumn id="1" xr3:uid="{14389BB3-32A8-224A-86E8-3BF6D028E785}" name="Attrition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E287BD-77FA-8B47-B284-D2C91DC6ECD5}" name="Table3" displayName="Table3" ref="A1:B4" totalsRowShown="0">
  <autoFilter ref="A1:B4" xr:uid="{E8E287BD-77FA-8B47-B284-D2C91DC6ECD5}"/>
  <tableColumns count="2">
    <tableColumn id="1" xr3:uid="{D2EF4404-4574-BE4F-9478-7F34436D7236}" name="Department"/>
    <tableColumn id="2" xr3:uid="{77C240A8-59E4-3C47-953F-30C4232DED2A}" name="Head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4B12C1-2622-FD45-BB8F-50F65FC91C03}" name="Table6" displayName="Table6" ref="A1:B10" totalsRowShown="0">
  <autoFilter ref="A1:B10" xr:uid="{0C4B12C1-2622-FD45-BB8F-50F65FC91C03}"/>
  <tableColumns count="2">
    <tableColumn id="1" xr3:uid="{91CDD58A-ACAA-A34E-9BDF-E7329B6D6EFB}" name="JobRole"/>
    <tableColumn id="2" xr3:uid="{7C1A8ABF-E66C-4441-B89E-E552558D0241}" name="Attri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E043FB-C930-E54D-AEF1-061204D5F785}" name="Table7" displayName="Table7" ref="A1:B4" totalsRowShown="0">
  <autoFilter ref="A1:B4" xr:uid="{6DE043FB-C930-E54D-AEF1-061204D5F785}"/>
  <tableColumns count="2">
    <tableColumn id="1" xr3:uid="{0878C37E-96F6-7948-BCAB-521B8B92DDA8}" name="Department"/>
    <tableColumn id="2" xr3:uid="{D5C6BE4E-0FD5-ED47-A99F-1414EBE7BAB2}" name="Attri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EEBFAD6-9317-1444-9311-7093942F1CA2}" name="Table8" displayName="Table8" ref="A1:B3" totalsRowShown="0">
  <autoFilter ref="A1:B3" xr:uid="{FEEBFAD6-9317-1444-9311-7093942F1CA2}"/>
  <tableColumns count="2">
    <tableColumn id="1" xr3:uid="{A3BD5301-DBBC-6A4B-B551-AAC81EACD934}" name="Attrition"/>
    <tableColumn id="2" xr3:uid="{1DAC0242-CBED-5D4C-8EE8-744F53556D4C}" name="AvgYearsAtCompan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23C59A1-D26E-114E-9B6F-CBC7D220C5EA}" name="Table9" displayName="Table9" ref="A1:C9" totalsRowShown="0">
  <autoFilter ref="A1:C9" xr:uid="{123C59A1-D26E-114E-9B6F-CBC7D220C5EA}"/>
  <tableColumns count="3">
    <tableColumn id="1" xr3:uid="{4FE856DB-A8DA-C44D-BE0A-FDC070B31BBA}" name="JobSatisfaction"/>
    <tableColumn id="2" xr3:uid="{E6653CCC-A180-F54B-8CF6-ACA4C3AFB569}" name="Attrition"/>
    <tableColumn id="3" xr3:uid="{0C6CCF54-511C-9647-ABE1-575E8975EBF9}" name="Employee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4BDF-8867-EB46-99E1-C265497E7AA8}">
  <dimension ref="A1:A2"/>
  <sheetViews>
    <sheetView workbookViewId="0">
      <selection activeCell="N29" sqref="N29"/>
    </sheetView>
  </sheetViews>
  <sheetFormatPr baseColWidth="10" defaultRowHeight="16" x14ac:dyDescent="0.2"/>
  <cols>
    <col min="1" max="1" width="14.1640625" customWidth="1"/>
  </cols>
  <sheetData>
    <row r="1" spans="1:1" x14ac:dyDescent="0.2">
      <c r="A1" t="s">
        <v>5</v>
      </c>
    </row>
    <row r="2" spans="1:1" x14ac:dyDescent="0.2">
      <c r="A2">
        <v>16.122450000000001</v>
      </c>
    </row>
  </sheetData>
  <conditionalFormatting sqref="A1:A3">
    <cfRule type="expression" dxfId="1" priority="3">
      <formula>IF(B2&gt;15,"High Risk","Normal")</formula>
    </cfRule>
  </conditionalFormatting>
  <conditionalFormatting sqref="A1:A5">
    <cfRule type="cellIs" dxfId="0" priority="1" stopIfTrue="1" operator="greaterThan">
      <formula>15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2DE99-F0BD-2E45-89B4-DD627B0FA371}">
  <dimension ref="A1:B4"/>
  <sheetViews>
    <sheetView workbookViewId="0">
      <selection activeCell="E28" sqref="E28"/>
    </sheetView>
  </sheetViews>
  <sheetFormatPr baseColWidth="10" defaultRowHeight="16" x14ac:dyDescent="0.2"/>
  <cols>
    <col min="1" max="1" width="21.83203125" bestFit="1" customWidth="1"/>
    <col min="2" max="2" width="12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446</v>
      </c>
    </row>
    <row r="3" spans="1:2" x14ac:dyDescent="0.2">
      <c r="A3" t="s">
        <v>3</v>
      </c>
      <c r="B3">
        <v>961</v>
      </c>
    </row>
    <row r="4" spans="1:2" x14ac:dyDescent="0.2">
      <c r="A4" t="s">
        <v>4</v>
      </c>
      <c r="B4">
        <v>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A3A38-DCBE-E34C-9A3E-113CB8D76849}">
  <dimension ref="A1:B5"/>
  <sheetViews>
    <sheetView workbookViewId="0">
      <selection activeCell="F33" sqref="F33"/>
    </sheetView>
  </sheetViews>
  <sheetFormatPr baseColWidth="10" defaultRowHeight="16" x14ac:dyDescent="0.2"/>
  <cols>
    <col min="1" max="1" width="21.83203125" bestFit="1" customWidth="1"/>
    <col min="2" max="2" width="16.33203125" bestFit="1" customWidth="1"/>
  </cols>
  <sheetData>
    <row r="1" spans="1:2" x14ac:dyDescent="0.2">
      <c r="A1" s="1" t="s">
        <v>21</v>
      </c>
      <c r="B1" t="s">
        <v>23</v>
      </c>
    </row>
    <row r="2" spans="1:2" x14ac:dyDescent="0.2">
      <c r="A2" s="2" t="s">
        <v>4</v>
      </c>
      <c r="B2">
        <v>63</v>
      </c>
    </row>
    <row r="3" spans="1:2" x14ac:dyDescent="0.2">
      <c r="A3" s="2" t="s">
        <v>3</v>
      </c>
      <c r="B3">
        <v>961</v>
      </c>
    </row>
    <row r="4" spans="1:2" x14ac:dyDescent="0.2">
      <c r="A4" s="2" t="s">
        <v>2</v>
      </c>
      <c r="B4">
        <v>446</v>
      </c>
    </row>
    <row r="5" spans="1:2" x14ac:dyDescent="0.2">
      <c r="A5" s="2" t="s">
        <v>22</v>
      </c>
      <c r="B5">
        <v>1470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93A36-87C4-FE40-97E3-1EFFBF9CF43E}">
  <dimension ref="A1:B10"/>
  <sheetViews>
    <sheetView workbookViewId="0">
      <selection activeCell="A5" sqref="A5"/>
    </sheetView>
  </sheetViews>
  <sheetFormatPr baseColWidth="10" defaultRowHeight="16" x14ac:dyDescent="0.2"/>
  <cols>
    <col min="1" max="1" width="23.33203125" bestFit="1" customWidth="1"/>
    <col min="2" max="2" width="11.33203125" customWidth="1"/>
  </cols>
  <sheetData>
    <row r="1" spans="1:2" x14ac:dyDescent="0.2">
      <c r="A1" t="s">
        <v>6</v>
      </c>
      <c r="B1" t="s">
        <v>15</v>
      </c>
    </row>
    <row r="2" spans="1:2" x14ac:dyDescent="0.2">
      <c r="A2" t="s">
        <v>7</v>
      </c>
      <c r="B2">
        <v>62</v>
      </c>
    </row>
    <row r="3" spans="1:2" x14ac:dyDescent="0.2">
      <c r="A3" t="s">
        <v>8</v>
      </c>
      <c r="B3">
        <v>57</v>
      </c>
    </row>
    <row r="4" spans="1:2" x14ac:dyDescent="0.2">
      <c r="A4" t="s">
        <v>9</v>
      </c>
      <c r="B4">
        <v>47</v>
      </c>
    </row>
    <row r="5" spans="1:2" x14ac:dyDescent="0.2">
      <c r="A5" t="s">
        <v>10</v>
      </c>
      <c r="B5">
        <v>33</v>
      </c>
    </row>
    <row r="6" spans="1:2" x14ac:dyDescent="0.2">
      <c r="A6" t="s">
        <v>4</v>
      </c>
      <c r="B6">
        <v>12</v>
      </c>
    </row>
    <row r="7" spans="1:2" x14ac:dyDescent="0.2">
      <c r="A7" t="s">
        <v>11</v>
      </c>
      <c r="B7">
        <v>10</v>
      </c>
    </row>
    <row r="8" spans="1:2" x14ac:dyDescent="0.2">
      <c r="A8" t="s">
        <v>12</v>
      </c>
      <c r="B8">
        <v>9</v>
      </c>
    </row>
    <row r="9" spans="1:2" x14ac:dyDescent="0.2">
      <c r="A9" t="s">
        <v>13</v>
      </c>
      <c r="B9">
        <v>5</v>
      </c>
    </row>
    <row r="10" spans="1:2" x14ac:dyDescent="0.2">
      <c r="A10" t="s">
        <v>14</v>
      </c>
      <c r="B10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0620-D5FC-A947-B432-2FD2C3A16A13}">
  <dimension ref="A1:B11"/>
  <sheetViews>
    <sheetView workbookViewId="0">
      <selection activeCell="G30" sqref="G30"/>
    </sheetView>
  </sheetViews>
  <sheetFormatPr baseColWidth="10" defaultRowHeight="16" x14ac:dyDescent="0.2"/>
  <cols>
    <col min="1" max="1" width="23.33203125" bestFit="1" customWidth="1"/>
    <col min="2" max="2" width="11.1640625" bestFit="1" customWidth="1"/>
  </cols>
  <sheetData>
    <row r="1" spans="1:2" x14ac:dyDescent="0.2">
      <c r="A1" s="1" t="s">
        <v>21</v>
      </c>
      <c r="B1" t="s">
        <v>24</v>
      </c>
    </row>
    <row r="2" spans="1:2" x14ac:dyDescent="0.2">
      <c r="A2" s="2" t="s">
        <v>12</v>
      </c>
      <c r="B2">
        <v>9</v>
      </c>
    </row>
    <row r="3" spans="1:2" x14ac:dyDescent="0.2">
      <c r="A3" s="2" t="s">
        <v>4</v>
      </c>
      <c r="B3">
        <v>12</v>
      </c>
    </row>
    <row r="4" spans="1:2" x14ac:dyDescent="0.2">
      <c r="A4" s="2" t="s">
        <v>7</v>
      </c>
      <c r="B4">
        <v>62</v>
      </c>
    </row>
    <row r="5" spans="1:2" x14ac:dyDescent="0.2">
      <c r="A5" s="2" t="s">
        <v>13</v>
      </c>
      <c r="B5">
        <v>5</v>
      </c>
    </row>
    <row r="6" spans="1:2" x14ac:dyDescent="0.2">
      <c r="A6" s="2" t="s">
        <v>11</v>
      </c>
      <c r="B6">
        <v>10</v>
      </c>
    </row>
    <row r="7" spans="1:2" x14ac:dyDescent="0.2">
      <c r="A7" s="2" t="s">
        <v>14</v>
      </c>
      <c r="B7">
        <v>2</v>
      </c>
    </row>
    <row r="8" spans="1:2" x14ac:dyDescent="0.2">
      <c r="A8" s="2" t="s">
        <v>9</v>
      </c>
      <c r="B8">
        <v>47</v>
      </c>
    </row>
    <row r="9" spans="1:2" x14ac:dyDescent="0.2">
      <c r="A9" s="2" t="s">
        <v>8</v>
      </c>
      <c r="B9">
        <v>57</v>
      </c>
    </row>
    <row r="10" spans="1:2" x14ac:dyDescent="0.2">
      <c r="A10" s="2" t="s">
        <v>10</v>
      </c>
      <c r="B10">
        <v>33</v>
      </c>
    </row>
    <row r="11" spans="1:2" x14ac:dyDescent="0.2">
      <c r="A11" s="2" t="s">
        <v>22</v>
      </c>
      <c r="B11">
        <v>237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FD52C-0340-9142-844F-F3CE9F5A6331}">
  <dimension ref="A1:B4"/>
  <sheetViews>
    <sheetView workbookViewId="0">
      <selection activeCell="B1" sqref="B1"/>
    </sheetView>
  </sheetViews>
  <sheetFormatPr baseColWidth="10" defaultRowHeight="16" x14ac:dyDescent="0.2"/>
  <cols>
    <col min="1" max="1" width="21.83203125" bestFit="1" customWidth="1"/>
    <col min="2" max="2" width="15.1640625" customWidth="1"/>
  </cols>
  <sheetData>
    <row r="1" spans="1:2" x14ac:dyDescent="0.2">
      <c r="A1" t="s">
        <v>0</v>
      </c>
      <c r="B1" t="s">
        <v>15</v>
      </c>
    </row>
    <row r="2" spans="1:2" x14ac:dyDescent="0.2">
      <c r="A2" t="s">
        <v>3</v>
      </c>
      <c r="B2">
        <v>133</v>
      </c>
    </row>
    <row r="3" spans="1:2" x14ac:dyDescent="0.2">
      <c r="A3" t="s">
        <v>2</v>
      </c>
      <c r="B3">
        <v>92</v>
      </c>
    </row>
    <row r="4" spans="1:2" x14ac:dyDescent="0.2">
      <c r="A4" t="s">
        <v>4</v>
      </c>
      <c r="B4">
        <v>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E7AA-6FC0-9A48-87D1-ECE0784B4B36}">
  <dimension ref="A1:B5"/>
  <sheetViews>
    <sheetView workbookViewId="0">
      <selection activeCell="I39" sqref="I39"/>
    </sheetView>
  </sheetViews>
  <sheetFormatPr baseColWidth="10" defaultRowHeight="16" x14ac:dyDescent="0.2"/>
  <cols>
    <col min="1" max="1" width="21.83203125" bestFit="1" customWidth="1"/>
    <col min="2" max="2" width="11.1640625" bestFit="1" customWidth="1"/>
  </cols>
  <sheetData>
    <row r="1" spans="1:2" x14ac:dyDescent="0.2">
      <c r="A1" s="1" t="s">
        <v>21</v>
      </c>
      <c r="B1" t="s">
        <v>24</v>
      </c>
    </row>
    <row r="2" spans="1:2" x14ac:dyDescent="0.2">
      <c r="A2" s="2" t="s">
        <v>4</v>
      </c>
      <c r="B2">
        <v>12</v>
      </c>
    </row>
    <row r="3" spans="1:2" x14ac:dyDescent="0.2">
      <c r="A3" s="2" t="s">
        <v>3</v>
      </c>
      <c r="B3">
        <v>133</v>
      </c>
    </row>
    <row r="4" spans="1:2" x14ac:dyDescent="0.2">
      <c r="A4" s="2" t="s">
        <v>2</v>
      </c>
      <c r="B4">
        <v>92</v>
      </c>
    </row>
    <row r="5" spans="1:2" x14ac:dyDescent="0.2">
      <c r="A5" s="2" t="s">
        <v>22</v>
      </c>
      <c r="B5">
        <v>237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80041-79B6-3C4F-B707-34327B10662D}">
  <dimension ref="A1:B3"/>
  <sheetViews>
    <sheetView tabSelected="1" workbookViewId="0">
      <selection activeCell="O34" sqref="O34"/>
    </sheetView>
  </sheetViews>
  <sheetFormatPr baseColWidth="10" defaultRowHeight="16" x14ac:dyDescent="0.2"/>
  <cols>
    <col min="1" max="1" width="12.6640625" customWidth="1"/>
    <col min="2" max="2" width="20.83203125" customWidth="1"/>
  </cols>
  <sheetData>
    <row r="1" spans="1:2" x14ac:dyDescent="0.2">
      <c r="A1" t="s">
        <v>15</v>
      </c>
      <c r="B1" t="s">
        <v>16</v>
      </c>
    </row>
    <row r="2" spans="1:2" x14ac:dyDescent="0.2">
      <c r="A2" t="s">
        <v>17</v>
      </c>
      <c r="B2">
        <v>5.1307999999999998</v>
      </c>
    </row>
    <row r="3" spans="1:2" x14ac:dyDescent="0.2">
      <c r="A3" t="s">
        <v>18</v>
      </c>
      <c r="B3">
        <v>7.3689999999999998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F956-C12F-264B-9873-E65B88AFBF22}">
  <dimension ref="A1:B4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24.83203125" bestFit="1" customWidth="1"/>
  </cols>
  <sheetData>
    <row r="1" spans="1:2" x14ac:dyDescent="0.2">
      <c r="A1" s="1" t="s">
        <v>21</v>
      </c>
      <c r="B1" t="s">
        <v>25</v>
      </c>
    </row>
    <row r="2" spans="1:2" x14ac:dyDescent="0.2">
      <c r="A2" s="2" t="s">
        <v>26</v>
      </c>
      <c r="B2">
        <v>7.3689999999999998</v>
      </c>
    </row>
    <row r="3" spans="1:2" x14ac:dyDescent="0.2">
      <c r="A3" s="2" t="s">
        <v>27</v>
      </c>
      <c r="B3">
        <v>5.1307999999999998</v>
      </c>
    </row>
    <row r="4" spans="1:2" x14ac:dyDescent="0.2">
      <c r="A4" s="2" t="s">
        <v>22</v>
      </c>
      <c r="B4">
        <v>12.4998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77205-B2A9-AA4F-8075-73BACFE73330}">
  <dimension ref="A1:C9"/>
  <sheetViews>
    <sheetView workbookViewId="0">
      <selection activeCell="C6" sqref="C6"/>
    </sheetView>
  </sheetViews>
  <sheetFormatPr baseColWidth="10" defaultRowHeight="16" x14ac:dyDescent="0.2"/>
  <cols>
    <col min="1" max="1" width="16.1640625" customWidth="1"/>
    <col min="2" max="2" width="10.33203125" customWidth="1"/>
    <col min="3" max="3" width="16.5" customWidth="1"/>
  </cols>
  <sheetData>
    <row r="1" spans="1:3" x14ac:dyDescent="0.2">
      <c r="A1" t="s">
        <v>19</v>
      </c>
      <c r="B1" t="s">
        <v>15</v>
      </c>
      <c r="C1" t="s">
        <v>20</v>
      </c>
    </row>
    <row r="2" spans="1:3" x14ac:dyDescent="0.2">
      <c r="A2">
        <v>1</v>
      </c>
      <c r="B2" t="s">
        <v>18</v>
      </c>
      <c r="C2">
        <v>223</v>
      </c>
    </row>
    <row r="3" spans="1:3" x14ac:dyDescent="0.2">
      <c r="A3">
        <v>1</v>
      </c>
      <c r="B3" t="s">
        <v>17</v>
      </c>
      <c r="C3">
        <v>66</v>
      </c>
    </row>
    <row r="4" spans="1:3" x14ac:dyDescent="0.2">
      <c r="A4">
        <v>2</v>
      </c>
      <c r="B4" t="s">
        <v>18</v>
      </c>
      <c r="C4">
        <v>234</v>
      </c>
    </row>
    <row r="5" spans="1:3" x14ac:dyDescent="0.2">
      <c r="A5">
        <v>2</v>
      </c>
      <c r="B5" t="s">
        <v>17</v>
      </c>
      <c r="C5">
        <v>46</v>
      </c>
    </row>
    <row r="6" spans="1:3" x14ac:dyDescent="0.2">
      <c r="A6">
        <v>3</v>
      </c>
      <c r="B6" t="s">
        <v>18</v>
      </c>
      <c r="C6">
        <v>369</v>
      </c>
    </row>
    <row r="7" spans="1:3" x14ac:dyDescent="0.2">
      <c r="A7">
        <v>3</v>
      </c>
      <c r="B7" t="s">
        <v>17</v>
      </c>
      <c r="C7">
        <v>73</v>
      </c>
    </row>
    <row r="8" spans="1:3" x14ac:dyDescent="0.2">
      <c r="A8">
        <v>4</v>
      </c>
      <c r="B8" t="s">
        <v>18</v>
      </c>
      <c r="C8">
        <v>407</v>
      </c>
    </row>
    <row r="9" spans="1:3" x14ac:dyDescent="0.2">
      <c r="A9">
        <v>4</v>
      </c>
      <c r="B9" t="s">
        <v>17</v>
      </c>
      <c r="C9">
        <v>52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C8449-D7EB-6C41-8CFD-FA1C22D783A5}">
  <dimension ref="A1:C4"/>
  <sheetViews>
    <sheetView workbookViewId="0">
      <selection activeCell="L16" sqref="L16"/>
    </sheetView>
  </sheetViews>
  <sheetFormatPr baseColWidth="10" defaultRowHeight="16" x14ac:dyDescent="0.2"/>
  <cols>
    <col min="1" max="1" width="13" bestFit="1" customWidth="1"/>
    <col min="2" max="2" width="20.33203125" bestFit="1" customWidth="1"/>
    <col min="3" max="3" width="20" bestFit="1" customWidth="1"/>
  </cols>
  <sheetData>
    <row r="1" spans="1:3" x14ac:dyDescent="0.2">
      <c r="A1" s="1" t="s">
        <v>21</v>
      </c>
      <c r="B1" t="s">
        <v>29</v>
      </c>
      <c r="C1" t="s">
        <v>28</v>
      </c>
    </row>
    <row r="2" spans="1:3" x14ac:dyDescent="0.2">
      <c r="A2" s="2" t="s">
        <v>26</v>
      </c>
      <c r="B2">
        <v>1233</v>
      </c>
      <c r="C2">
        <v>10</v>
      </c>
    </row>
    <row r="3" spans="1:3" x14ac:dyDescent="0.2">
      <c r="A3" s="2" t="s">
        <v>27</v>
      </c>
      <c r="B3">
        <v>237</v>
      </c>
      <c r="C3">
        <v>10</v>
      </c>
    </row>
    <row r="4" spans="1:3" x14ac:dyDescent="0.2">
      <c r="A4" s="2" t="s">
        <v>22</v>
      </c>
      <c r="B4">
        <v>1470</v>
      </c>
      <c r="C4">
        <v>20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KPI Dashboard</vt:lpstr>
      <vt:lpstr>HeadCount</vt:lpstr>
      <vt:lpstr>Pivot_Headcount</vt:lpstr>
      <vt:lpstr>Attrition_JobRole</vt:lpstr>
      <vt:lpstr>Pivot_Attrition_JobRole</vt:lpstr>
      <vt:lpstr>Attrition_Department</vt:lpstr>
      <vt:lpstr>Pivot_Attrition_Department</vt:lpstr>
      <vt:lpstr>Tenure_Attrition</vt:lpstr>
      <vt:lpstr>Pivot_Tenure</vt:lpstr>
      <vt:lpstr>JobSatisfaction_Attrition</vt:lpstr>
      <vt:lpstr>Pivot_JobSatisfaction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Gowda Gowda Ranganatha</dc:creator>
  <cp:lastModifiedBy>Rohith Gowda Gowda Ranganatha</cp:lastModifiedBy>
  <dcterms:created xsi:type="dcterms:W3CDTF">2026-01-27T05:57:40Z</dcterms:created>
  <dcterms:modified xsi:type="dcterms:W3CDTF">2026-01-28T02:39:04Z</dcterms:modified>
</cp:coreProperties>
</file>